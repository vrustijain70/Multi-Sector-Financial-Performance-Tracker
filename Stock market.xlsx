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"/>
    </mc:Choice>
  </mc:AlternateContent>
  <xr:revisionPtr revIDLastSave="0" documentId="13_ncr:1_{7E1E4D7B-4516-40B5-A162-D92A85FE288B}" xr6:coauthVersionLast="47" xr6:coauthVersionMax="47" xr10:uidLastSave="{00000000-0000-0000-0000-000000000000}"/>
  <bookViews>
    <workbookView xWindow="3036" yWindow="3036" windowWidth="17280" windowHeight="8964" xr2:uid="{BFEF9C86-D77F-44EA-8D9A-85FFFF207B04}"/>
  </bookViews>
  <sheets>
    <sheet name="Dashboard data tab" sheetId="7" r:id="rId1"/>
    <sheet name="Summary" sheetId="6" r:id="rId2"/>
    <sheet name="HUL" sheetId="1" r:id="rId3"/>
    <sheet name="Asian Paints" sheetId="2" r:id="rId4"/>
    <sheet name="HDFC" sheetId="3" r:id="rId5"/>
    <sheet name="Tata Motors" sheetId="4" r:id="rId6"/>
    <sheet name="Sun Pharma" sheetId="5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4" i="6" l="1"/>
  <c r="B12" i="5"/>
  <c r="B12" i="4"/>
  <c r="B12" i="3"/>
  <c r="B12" i="2"/>
  <c r="A12" i="1"/>
  <c r="B34" i="6"/>
  <c r="B27" i="6"/>
  <c r="B20" i="6"/>
  <c r="B13" i="6"/>
  <c r="D10" i="5"/>
  <c r="E10" i="5"/>
  <c r="F10" i="5"/>
  <c r="G10" i="5"/>
  <c r="H10" i="5"/>
  <c r="I10" i="5"/>
  <c r="D9" i="5"/>
  <c r="E9" i="5"/>
  <c r="F9" i="5"/>
  <c r="G9" i="5"/>
  <c r="H9" i="5"/>
  <c r="I9" i="5"/>
  <c r="C10" i="5"/>
  <c r="C9" i="5"/>
  <c r="D10" i="4"/>
  <c r="E10" i="4"/>
  <c r="F10" i="4"/>
  <c r="G10" i="4"/>
  <c r="H10" i="4"/>
  <c r="D9" i="4"/>
  <c r="E9" i="4"/>
  <c r="F9" i="4"/>
  <c r="G9" i="4"/>
  <c r="H9" i="4"/>
  <c r="C10" i="4"/>
  <c r="C9" i="4"/>
  <c r="C9" i="3"/>
  <c r="D10" i="3"/>
  <c r="E10" i="3"/>
  <c r="F10" i="3"/>
  <c r="G10" i="3"/>
  <c r="H10" i="3"/>
  <c r="I10" i="3"/>
  <c r="C10" i="3"/>
  <c r="D9" i="3"/>
  <c r="E9" i="3"/>
  <c r="F9" i="3"/>
  <c r="G9" i="3"/>
  <c r="H9" i="3"/>
  <c r="I9" i="3"/>
  <c r="D10" i="2"/>
  <c r="E10" i="2"/>
  <c r="F10" i="2"/>
  <c r="G10" i="2"/>
  <c r="H10" i="2"/>
  <c r="I10" i="2"/>
  <c r="C10" i="2"/>
  <c r="D9" i="2"/>
  <c r="E9" i="2"/>
  <c r="F9" i="2"/>
  <c r="G9" i="2"/>
  <c r="H9" i="2"/>
  <c r="I9" i="2"/>
  <c r="D10" i="1"/>
  <c r="E10" i="1"/>
  <c r="F10" i="1"/>
  <c r="G10" i="1"/>
  <c r="H10" i="1"/>
  <c r="I10" i="1"/>
  <c r="C10" i="1"/>
  <c r="C9" i="2"/>
  <c r="D9" i="1"/>
  <c r="E9" i="1"/>
  <c r="F9" i="1"/>
  <c r="G9" i="1"/>
  <c r="H9" i="1"/>
  <c r="I9" i="1"/>
  <c r="C9" i="1"/>
</calcChain>
</file>

<file path=xl/sharedStrings.xml><?xml version="1.0" encoding="utf-8"?>
<sst xmlns="http://schemas.openxmlformats.org/spreadsheetml/2006/main" count="133" uniqueCount="46">
  <si>
    <t>HINDUSTAN UNILEVER (HUL)</t>
  </si>
  <si>
    <t xml:space="preserve">Net sales(Revenue) </t>
  </si>
  <si>
    <t>Operating Profit</t>
  </si>
  <si>
    <t>Net Profit</t>
  </si>
  <si>
    <t>OPM%</t>
  </si>
  <si>
    <t>ASIAN PAINTS</t>
  </si>
  <si>
    <t>HDFC BANK</t>
  </si>
  <si>
    <t>MAR'26</t>
  </si>
  <si>
    <t>JUN'24</t>
  </si>
  <si>
    <t>SEP'24</t>
  </si>
  <si>
    <t>DEC'24</t>
  </si>
  <si>
    <t>MAR'25</t>
  </si>
  <si>
    <t>JUN'25</t>
  </si>
  <si>
    <t>SEP'25</t>
  </si>
  <si>
    <t>DEC'25</t>
  </si>
  <si>
    <t>Financing Profit</t>
  </si>
  <si>
    <t>TATA MOTORS LTD</t>
  </si>
  <si>
    <t>SUN PHARMA INDUSTRIES LTD</t>
  </si>
  <si>
    <t>r</t>
  </si>
  <si>
    <t>Tax</t>
  </si>
  <si>
    <t>Revenue QoQ</t>
  </si>
  <si>
    <t>Net profit QoQ</t>
  </si>
  <si>
    <t>HUL</t>
  </si>
  <si>
    <t>Revenue QoQ %</t>
  </si>
  <si>
    <t>Net profit QoQ%</t>
  </si>
  <si>
    <t>Revenue QoQ%</t>
  </si>
  <si>
    <t>Net Profit QoQ%</t>
  </si>
  <si>
    <t>SUN PHARMA LTD</t>
  </si>
  <si>
    <t>Avg OPM%</t>
  </si>
  <si>
    <t>Latest Net Profit</t>
  </si>
  <si>
    <t>Avg opm</t>
  </si>
  <si>
    <t>Avg Opm</t>
  </si>
  <si>
    <t>Avg Revenue Growth %</t>
  </si>
  <si>
    <t>Company</t>
  </si>
  <si>
    <t>Sector</t>
  </si>
  <si>
    <t>Avg Rev Growth%</t>
  </si>
  <si>
    <t>Latest Revenue</t>
  </si>
  <si>
    <t>FMCG</t>
  </si>
  <si>
    <t>Asian Paints</t>
  </si>
  <si>
    <t>Paints</t>
  </si>
  <si>
    <t>HDFC Bank</t>
  </si>
  <si>
    <t>Banking</t>
  </si>
  <si>
    <t>Tata Motors</t>
  </si>
  <si>
    <t>Auto</t>
  </si>
  <si>
    <t>Sun Pharma</t>
  </si>
  <si>
    <t>Pharma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</si>
</sst>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1" formatCode="0.00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22222F"/>
      <name val="Arial"/>
      <family val="2"/>
    </font>
    <font>
      <sz val="10"/>
      <color rgb="FF22222F"/>
      <name val="Arial"/>
      <family val="2"/>
    </font>
    <font>
      <sz val="11"/>
      <color rgb="FF22222F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8F8FC"/>
        <bgColor indexed="64"/>
      </patternFill>
    </fill>
    <fill>
      <patternFill patternType="solid">
        <fgColor rgb="FFF5F4FA"/>
        <bgColor indexed="64"/>
      </patternFill>
    </fill>
  </fills>
  <borders count="2">
    <border>
      <left/>
      <right/>
      <top/>
      <bottom/>
      <diagonal/>
    </border>
    <border>
      <left/>
      <right/>
      <top style="medium">
        <color rgb="FFDBE4F0"/>
      </top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29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3" fontId="0" fillId="0" borderId="0" xfId="0" applyNumberFormat="1"/>
    <xf numFmtId="3" fontId="5" fillId="0" borderId="0" xfId="0" applyNumberFormat="1" applyFont="1"/>
    <xf numFmtId="0" fontId="0" fillId="0" borderId="0" xfId="0" applyFont="1"/>
    <xf numFmtId="9" fontId="3" fillId="2" borderId="0" xfId="0" applyNumberFormat="1" applyFont="1" applyFill="1" applyAlignment="1">
      <alignment horizontal="right" vertical="center" wrapText="1"/>
    </xf>
    <xf numFmtId="9" fontId="3" fillId="3" borderId="0" xfId="0" applyNumberFormat="1" applyFont="1" applyFill="1" applyAlignment="1">
      <alignment horizontal="right" vertical="center" wrapText="1"/>
    </xf>
    <xf numFmtId="3" fontId="3" fillId="2" borderId="1" xfId="0" applyNumberFormat="1" applyFont="1" applyFill="1" applyBorder="1" applyAlignment="1">
      <alignment horizontal="right" vertical="center" wrapText="1"/>
    </xf>
    <xf numFmtId="3" fontId="3" fillId="3" borderId="1" xfId="0" applyNumberFormat="1" applyFont="1" applyFill="1" applyBorder="1" applyAlignment="1">
      <alignment horizontal="right" vertical="center" wrapText="1"/>
    </xf>
    <xf numFmtId="9" fontId="3" fillId="4" borderId="0" xfId="0" applyNumberFormat="1" applyFont="1" applyFill="1" applyAlignment="1">
      <alignment horizontal="right" vertical="center" wrapText="1"/>
    </xf>
    <xf numFmtId="3" fontId="4" fillId="3" borderId="0" xfId="0" applyNumberFormat="1" applyFont="1" applyFill="1" applyAlignment="1">
      <alignment horizontal="right" vertical="center" wrapText="1"/>
    </xf>
    <xf numFmtId="3" fontId="4" fillId="4" borderId="0" xfId="0" applyNumberFormat="1" applyFont="1" applyFill="1" applyAlignment="1">
      <alignment horizontal="right" vertical="center" wrapText="1"/>
    </xf>
    <xf numFmtId="3" fontId="4" fillId="2" borderId="1" xfId="0" applyNumberFormat="1" applyFont="1" applyFill="1" applyBorder="1" applyAlignment="1">
      <alignment horizontal="right" vertical="center" wrapText="1"/>
    </xf>
    <xf numFmtId="3" fontId="4" fillId="3" borderId="1" xfId="0" applyNumberFormat="1" applyFont="1" applyFill="1" applyBorder="1" applyAlignment="1">
      <alignment horizontal="right" vertical="center" wrapText="1"/>
    </xf>
    <xf numFmtId="9" fontId="4" fillId="3" borderId="0" xfId="0" applyNumberFormat="1" applyFont="1" applyFill="1" applyAlignment="1">
      <alignment horizontal="right" vertical="center" wrapText="1"/>
    </xf>
    <xf numFmtId="3" fontId="3" fillId="4" borderId="1" xfId="0" applyNumberFormat="1" applyFont="1" applyFill="1" applyBorder="1" applyAlignment="1">
      <alignment horizontal="right" vertical="center" wrapText="1"/>
    </xf>
    <xf numFmtId="3" fontId="4" fillId="4" borderId="1" xfId="0" applyNumberFormat="1" applyFont="1" applyFill="1" applyBorder="1" applyAlignment="1">
      <alignment horizontal="right" vertical="center" wrapText="1"/>
    </xf>
    <xf numFmtId="0" fontId="4" fillId="2" borderId="1" xfId="0" applyFont="1" applyFill="1" applyBorder="1" applyAlignment="1">
      <alignment horizontal="right" vertical="center" wrapText="1"/>
    </xf>
    <xf numFmtId="0" fontId="4" fillId="3" borderId="1" xfId="0" applyFont="1" applyFill="1" applyBorder="1" applyAlignment="1">
      <alignment horizontal="right" vertical="center" wrapText="1"/>
    </xf>
    <xf numFmtId="9" fontId="4" fillId="2" borderId="0" xfId="0" applyNumberFormat="1" applyFont="1" applyFill="1" applyAlignment="1">
      <alignment horizontal="right" vertical="center" wrapText="1"/>
    </xf>
    <xf numFmtId="171" fontId="0" fillId="0" borderId="0" xfId="0" applyNumberFormat="1"/>
    <xf numFmtId="2" fontId="0" fillId="0" borderId="0" xfId="0" applyNumberFormat="1"/>
    <xf numFmtId="0" fontId="6" fillId="0" borderId="0" xfId="0" applyFont="1"/>
    <xf numFmtId="9" fontId="0" fillId="0" borderId="0" xfId="0" applyNumberFormat="1"/>
    <xf numFmtId="2" fontId="0" fillId="0" borderId="0" xfId="1" applyNumberFormat="1" applyFont="1"/>
    <xf numFmtId="1" fontId="0" fillId="0" borderId="0" xfId="0" applyNumberFormat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051E3-DF95-4949-963F-18B8A709B49C}">
  <dimension ref="A1:F6"/>
  <sheetViews>
    <sheetView tabSelected="1" workbookViewId="0">
      <selection activeCell="H16" sqref="H16"/>
    </sheetView>
  </sheetViews>
  <sheetFormatPr defaultRowHeight="14.4" x14ac:dyDescent="0.3"/>
  <sheetData>
    <row r="1" spans="1:6" ht="43.2" x14ac:dyDescent="0.3">
      <c r="A1" s="27" t="s">
        <v>33</v>
      </c>
      <c r="B1" s="27" t="s">
        <v>34</v>
      </c>
      <c r="C1" s="27" t="s">
        <v>35</v>
      </c>
      <c r="D1" s="27" t="s">
        <v>28</v>
      </c>
      <c r="E1" s="27" t="s">
        <v>29</v>
      </c>
      <c r="F1" s="27" t="s">
        <v>36</v>
      </c>
    </row>
    <row r="2" spans="1:6" x14ac:dyDescent="0.3">
      <c r="A2" s="28" t="s">
        <v>22</v>
      </c>
      <c r="B2" s="28" t="s">
        <v>37</v>
      </c>
      <c r="C2" s="28">
        <v>0.65</v>
      </c>
      <c r="D2" s="28">
        <v>24</v>
      </c>
      <c r="E2" s="28">
        <v>2994</v>
      </c>
      <c r="F2" s="28">
        <v>16351</v>
      </c>
    </row>
    <row r="3" spans="1:6" ht="28.8" x14ac:dyDescent="0.3">
      <c r="A3" s="28" t="s">
        <v>38</v>
      </c>
      <c r="B3" s="28" t="s">
        <v>39</v>
      </c>
      <c r="C3" s="28">
        <v>0.62</v>
      </c>
      <c r="D3" s="28">
        <v>18</v>
      </c>
      <c r="E3" s="28">
        <v>1185</v>
      </c>
      <c r="F3" s="28">
        <v>9247</v>
      </c>
    </row>
    <row r="4" spans="1:6" ht="28.8" x14ac:dyDescent="0.3">
      <c r="A4" s="28" t="s">
        <v>40</v>
      </c>
      <c r="B4" s="28" t="s">
        <v>41</v>
      </c>
      <c r="C4" s="28">
        <v>0.96</v>
      </c>
      <c r="D4" s="28">
        <v>23</v>
      </c>
      <c r="E4" s="28">
        <v>21074</v>
      </c>
      <c r="F4" s="28">
        <v>87182</v>
      </c>
    </row>
    <row r="5" spans="1:6" ht="28.8" x14ac:dyDescent="0.3">
      <c r="A5" s="28" t="s">
        <v>42</v>
      </c>
      <c r="B5" s="28" t="s">
        <v>43</v>
      </c>
      <c r="C5" s="28">
        <v>8.99</v>
      </c>
      <c r="D5" s="28">
        <v>12</v>
      </c>
      <c r="E5" s="28">
        <v>2406</v>
      </c>
      <c r="F5" s="28">
        <v>24452</v>
      </c>
    </row>
    <row r="6" spans="1:6" ht="28.8" x14ac:dyDescent="0.3">
      <c r="A6" s="28" t="s">
        <v>44</v>
      </c>
      <c r="B6" s="28" t="s">
        <v>45</v>
      </c>
      <c r="C6" s="28">
        <v>2.21</v>
      </c>
      <c r="D6" s="28">
        <v>30</v>
      </c>
      <c r="E6" s="28">
        <v>2710</v>
      </c>
      <c r="F6" s="28">
        <v>14612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3EADA2-5729-4700-B4FC-47297E2EB85B}">
  <dimension ref="A1:H36"/>
  <sheetViews>
    <sheetView zoomScale="65" workbookViewId="0">
      <selection activeCell="J14" sqref="J14"/>
    </sheetView>
  </sheetViews>
  <sheetFormatPr defaultRowHeight="14.4" x14ac:dyDescent="0.3"/>
  <cols>
    <col min="1" max="1" width="20.77734375" bestFit="1" customWidth="1"/>
    <col min="2" max="3" width="9" bestFit="1" customWidth="1"/>
    <col min="4" max="4" width="9.21875" bestFit="1" customWidth="1"/>
    <col min="5" max="6" width="9" bestFit="1" customWidth="1"/>
    <col min="7" max="7" width="9.5546875" bestFit="1" customWidth="1"/>
    <col min="8" max="8" width="9.21875" bestFit="1" customWidth="1"/>
  </cols>
  <sheetData>
    <row r="1" spans="1:8" x14ac:dyDescent="0.3"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7</v>
      </c>
    </row>
    <row r="3" spans="1:8" ht="15.6" x14ac:dyDescent="0.3">
      <c r="A3" s="23" t="s">
        <v>22</v>
      </c>
    </row>
    <row r="4" spans="1:8" x14ac:dyDescent="0.3">
      <c r="A4" s="5" t="s">
        <v>32</v>
      </c>
      <c r="B4" s="25">
        <f>AVERAGE(B7:H7)</f>
        <v>0.65188479273550204</v>
      </c>
    </row>
    <row r="5" spans="1:8" ht="15" thickBot="1" x14ac:dyDescent="0.35">
      <c r="A5" s="5" t="s">
        <v>28</v>
      </c>
      <c r="B5" s="26">
        <v>24</v>
      </c>
    </row>
    <row r="6" spans="1:8" x14ac:dyDescent="0.3">
      <c r="A6" t="s">
        <v>29</v>
      </c>
      <c r="B6" s="14">
        <v>2994</v>
      </c>
    </row>
    <row r="7" spans="1:8" x14ac:dyDescent="0.3">
      <c r="A7" t="s">
        <v>23</v>
      </c>
      <c r="B7" s="22">
        <v>1.3942828038454191</v>
      </c>
      <c r="C7" s="22">
        <v>-2.3232450081627527</v>
      </c>
      <c r="D7" s="22">
        <v>-2.3527899202879921</v>
      </c>
      <c r="E7" s="22">
        <v>8.7162606978275186</v>
      </c>
      <c r="F7" s="22">
        <v>-3.6030035121714912</v>
      </c>
      <c r="G7" s="22">
        <v>3.2791004460079156</v>
      </c>
      <c r="H7" s="22">
        <v>-0.54741195791010278</v>
      </c>
    </row>
    <row r="8" spans="1:8" x14ac:dyDescent="0.3">
      <c r="A8" t="s">
        <v>24</v>
      </c>
      <c r="B8" s="22">
        <v>-0.65084226646248089</v>
      </c>
      <c r="C8" s="22">
        <v>15.183044315992293</v>
      </c>
      <c r="D8" s="22">
        <v>-17.19638675142188</v>
      </c>
      <c r="E8" s="22">
        <v>11.838383838383839</v>
      </c>
      <c r="F8" s="22">
        <v>-2.6734104046242777</v>
      </c>
      <c r="G8" s="22">
        <v>145.10022271714922</v>
      </c>
      <c r="H8" s="22">
        <v>-54.6569741026806</v>
      </c>
    </row>
    <row r="10" spans="1:8" ht="15.6" x14ac:dyDescent="0.3">
      <c r="A10" s="23" t="s">
        <v>5</v>
      </c>
    </row>
    <row r="11" spans="1:8" ht="15" thickBot="1" x14ac:dyDescent="0.35">
      <c r="A11" s="5" t="s">
        <v>28</v>
      </c>
      <c r="B11" s="26">
        <v>18</v>
      </c>
    </row>
    <row r="12" spans="1:8" x14ac:dyDescent="0.3">
      <c r="A12" t="s">
        <v>29</v>
      </c>
      <c r="B12" s="14">
        <v>1185</v>
      </c>
    </row>
    <row r="13" spans="1:8" x14ac:dyDescent="0.3">
      <c r="A13" s="5" t="s">
        <v>32</v>
      </c>
      <c r="B13" s="25">
        <f>AVERAGE(B14:H14)</f>
        <v>0.62344593792432534</v>
      </c>
    </row>
    <row r="14" spans="1:8" x14ac:dyDescent="0.3">
      <c r="A14" t="s">
        <v>25</v>
      </c>
      <c r="B14" s="22">
        <v>-10.501672240802677</v>
      </c>
      <c r="C14" s="22">
        <v>6.4897857498754359</v>
      </c>
      <c r="D14" s="22">
        <v>-2.2224821616563339</v>
      </c>
      <c r="E14" s="22">
        <v>6.9386290226103595</v>
      </c>
      <c r="F14" s="22">
        <v>-4.5642689338852218</v>
      </c>
      <c r="G14" s="22">
        <v>3.9385769546360332</v>
      </c>
      <c r="H14" s="22">
        <v>4.2855531746926809</v>
      </c>
    </row>
    <row r="15" spans="1:8" x14ac:dyDescent="0.3">
      <c r="A15" t="s">
        <v>26</v>
      </c>
      <c r="B15" s="22">
        <v>-41.533277169334461</v>
      </c>
      <c r="C15" s="22">
        <v>62.536023054755042</v>
      </c>
      <c r="D15" s="22">
        <v>-37.854609929078016</v>
      </c>
      <c r="E15" s="22">
        <v>59.343794579172616</v>
      </c>
      <c r="F15" s="22">
        <v>-8.8630259623992824</v>
      </c>
      <c r="G15" s="22">
        <v>5.5009823182711202</v>
      </c>
      <c r="H15" s="22">
        <v>10.335195530726256</v>
      </c>
    </row>
    <row r="17" spans="1:8" ht="15.6" x14ac:dyDescent="0.3">
      <c r="A17" s="23" t="s">
        <v>6</v>
      </c>
    </row>
    <row r="18" spans="1:8" ht="15" thickBot="1" x14ac:dyDescent="0.35">
      <c r="A18" s="5" t="s">
        <v>28</v>
      </c>
      <c r="B18" s="26">
        <v>23</v>
      </c>
    </row>
    <row r="19" spans="1:8" x14ac:dyDescent="0.3">
      <c r="A19" t="s">
        <v>29</v>
      </c>
      <c r="B19" s="14">
        <v>21074</v>
      </c>
    </row>
    <row r="20" spans="1:8" x14ac:dyDescent="0.3">
      <c r="A20" s="5" t="s">
        <v>32</v>
      </c>
      <c r="B20" s="25">
        <f>AVERAGE(B21:H21)</f>
        <v>0.96464086483047551</v>
      </c>
    </row>
    <row r="21" spans="1:8" x14ac:dyDescent="0.3">
      <c r="A21" t="s">
        <v>25</v>
      </c>
      <c r="B21" s="22">
        <v>1.7854953032644152</v>
      </c>
      <c r="C21" s="22">
        <v>2.4553625213850272</v>
      </c>
      <c r="D21" s="22">
        <v>2.0449200376293506</v>
      </c>
      <c r="E21" s="22">
        <v>0.68334504891736481</v>
      </c>
      <c r="F21" s="22">
        <v>-0.43263288009888751</v>
      </c>
      <c r="G21" s="22">
        <v>8.3913833137917559E-2</v>
      </c>
      <c r="H21" s="22">
        <v>0.13208218957814097</v>
      </c>
    </row>
    <row r="22" spans="1:8" x14ac:dyDescent="0.3">
      <c r="A22" t="s">
        <v>26</v>
      </c>
      <c r="B22" s="22">
        <v>8.3721200837793823</v>
      </c>
      <c r="C22" s="22">
        <v>-1.5407741450582486</v>
      </c>
      <c r="D22" s="22">
        <v>5.1526717557251906</v>
      </c>
      <c r="E22" s="22">
        <v>-11.381903033445683</v>
      </c>
      <c r="F22" s="22">
        <v>19.157401989467523</v>
      </c>
      <c r="G22" s="22">
        <v>1.6057748968768417</v>
      </c>
      <c r="H22" s="22">
        <v>1.8510463486540043</v>
      </c>
    </row>
    <row r="24" spans="1:8" ht="15.6" x14ac:dyDescent="0.3">
      <c r="A24" s="23" t="s">
        <v>16</v>
      </c>
    </row>
    <row r="25" spans="1:8" ht="15" thickBot="1" x14ac:dyDescent="0.35">
      <c r="A25" s="5" t="s">
        <v>28</v>
      </c>
      <c r="B25" s="26">
        <v>12</v>
      </c>
    </row>
    <row r="26" spans="1:8" x14ac:dyDescent="0.3">
      <c r="A26" t="s">
        <v>29</v>
      </c>
      <c r="B26" s="14">
        <v>2406</v>
      </c>
    </row>
    <row r="27" spans="1:8" x14ac:dyDescent="0.3">
      <c r="A27" s="5" t="s">
        <v>32</v>
      </c>
      <c r="B27" s="25">
        <f>AVERAGE(C28:H28)</f>
        <v>8.9928864293966431</v>
      </c>
    </row>
    <row r="28" spans="1:8" x14ac:dyDescent="0.3">
      <c r="A28" t="s">
        <v>25</v>
      </c>
      <c r="B28" s="22"/>
      <c r="C28" s="22">
        <v>9.8079649439360743</v>
      </c>
      <c r="D28" s="22">
        <v>17.365023474178404</v>
      </c>
      <c r="E28" s="22">
        <v>-21.586079303965196</v>
      </c>
      <c r="F28" s="22">
        <v>7.5181737023338862</v>
      </c>
      <c r="G28" s="22">
        <v>21.012988553466581</v>
      </c>
      <c r="H28" s="22">
        <v>19.839247206430109</v>
      </c>
    </row>
    <row r="29" spans="1:8" x14ac:dyDescent="0.3">
      <c r="A29" t="s">
        <v>26</v>
      </c>
      <c r="B29" s="22"/>
      <c r="C29" s="22">
        <v>120.37325038880249</v>
      </c>
      <c r="D29" s="22">
        <v>0.14114326040931546</v>
      </c>
      <c r="E29" s="22">
        <v>-0.56377730796335446</v>
      </c>
      <c r="F29" s="22">
        <v>-172.36002834868887</v>
      </c>
      <c r="G29" s="22">
        <v>-154.94613124387854</v>
      </c>
      <c r="H29" s="22">
        <v>328.87700534759358</v>
      </c>
    </row>
    <row r="31" spans="1:8" ht="15.6" x14ac:dyDescent="0.3">
      <c r="A31" s="23" t="s">
        <v>27</v>
      </c>
    </row>
    <row r="32" spans="1:8" ht="15" thickBot="1" x14ac:dyDescent="0.35">
      <c r="A32" s="5" t="s">
        <v>28</v>
      </c>
      <c r="B32" s="26">
        <v>30</v>
      </c>
    </row>
    <row r="33" spans="1:8" x14ac:dyDescent="0.3">
      <c r="A33" t="s">
        <v>29</v>
      </c>
      <c r="B33" s="14">
        <v>2710</v>
      </c>
    </row>
    <row r="34" spans="1:8" x14ac:dyDescent="0.3">
      <c r="A34" s="5" t="s">
        <v>32</v>
      </c>
      <c r="B34" s="25">
        <f>AVERAGE(B35:H35)</f>
        <v>2.2075817447511574</v>
      </c>
    </row>
    <row r="35" spans="1:8" x14ac:dyDescent="0.3">
      <c r="A35" t="s">
        <v>25</v>
      </c>
      <c r="B35" s="21">
        <v>5.0422824626570772</v>
      </c>
      <c r="C35" s="21">
        <v>2.8891731246708301</v>
      </c>
      <c r="D35" s="21">
        <v>-5.2358318098720291</v>
      </c>
      <c r="E35" s="21">
        <v>6.8832471641330359</v>
      </c>
      <c r="F35" s="21">
        <v>4.5267489711934159</v>
      </c>
      <c r="G35" s="21">
        <v>7.2040337063130258</v>
      </c>
      <c r="H35" s="21">
        <v>-5.856581405837253</v>
      </c>
    </row>
    <row r="36" spans="1:8" x14ac:dyDescent="0.3">
      <c r="A36" t="s">
        <v>26</v>
      </c>
      <c r="B36" s="21">
        <v>6.1516952114645234</v>
      </c>
      <c r="C36" s="21">
        <v>-4.0829766216661181</v>
      </c>
      <c r="D36" s="21">
        <v>-26.055612770339852</v>
      </c>
      <c r="E36" s="21">
        <v>6.4531104921077072</v>
      </c>
      <c r="F36" s="21">
        <v>36.28434365460096</v>
      </c>
      <c r="G36" s="21">
        <v>8.1920000000000002</v>
      </c>
      <c r="H36" s="21">
        <v>-19.846199349304939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BC78D7-6917-4469-A183-FB8E94A683D2}">
  <dimension ref="A1:I12"/>
  <sheetViews>
    <sheetView zoomScale="92" workbookViewId="0">
      <selection activeCell="C10" sqref="C10"/>
    </sheetView>
  </sheetViews>
  <sheetFormatPr defaultRowHeight="14.4" x14ac:dyDescent="0.3"/>
  <cols>
    <col min="1" max="1" width="17.21875" bestFit="1" customWidth="1"/>
    <col min="3" max="3" width="9.77734375" bestFit="1" customWidth="1"/>
    <col min="4" max="4" width="10.21875" bestFit="1" customWidth="1"/>
    <col min="5" max="5" width="10.88671875" bestFit="1" customWidth="1"/>
    <col min="6" max="6" width="10.21875" bestFit="1" customWidth="1"/>
    <col min="7" max="7" width="9.77734375" bestFit="1" customWidth="1"/>
    <col min="8" max="8" width="11.33203125" bestFit="1" customWidth="1"/>
    <col min="9" max="9" width="10.88671875" bestFit="1" customWidth="1"/>
  </cols>
  <sheetData>
    <row r="1" spans="1:9" x14ac:dyDescent="0.3">
      <c r="B1" s="2" t="s">
        <v>0</v>
      </c>
      <c r="C1" s="2"/>
      <c r="D1" s="2"/>
      <c r="E1" s="1"/>
      <c r="F1" s="1"/>
    </row>
    <row r="2" spans="1:9" x14ac:dyDescent="0.3">
      <c r="B2" s="1"/>
      <c r="C2" s="1"/>
      <c r="D2" s="1"/>
      <c r="E2" s="1"/>
      <c r="F2" s="1"/>
    </row>
    <row r="3" spans="1:9" x14ac:dyDescent="0.3">
      <c r="B3" t="s">
        <v>8</v>
      </c>
      <c r="C3" t="s">
        <v>9</v>
      </c>
      <c r="D3" t="s">
        <v>10</v>
      </c>
      <c r="E3" t="s">
        <v>11</v>
      </c>
      <c r="F3" t="s">
        <v>12</v>
      </c>
      <c r="G3" t="s">
        <v>13</v>
      </c>
      <c r="H3" t="s">
        <v>14</v>
      </c>
      <c r="I3" t="s">
        <v>7</v>
      </c>
    </row>
    <row r="4" spans="1:9" ht="15" thickBot="1" x14ac:dyDescent="0.35">
      <c r="A4" s="5" t="s">
        <v>1</v>
      </c>
      <c r="B4" s="4">
        <v>15707</v>
      </c>
      <c r="C4" s="4">
        <v>15926</v>
      </c>
      <c r="D4" s="4">
        <v>15556</v>
      </c>
      <c r="E4" s="3">
        <v>15190</v>
      </c>
      <c r="F4" s="3">
        <v>16514</v>
      </c>
      <c r="G4" s="3">
        <v>15919</v>
      </c>
      <c r="H4" s="3">
        <v>16441</v>
      </c>
      <c r="I4" s="3">
        <v>16351</v>
      </c>
    </row>
    <row r="5" spans="1:9" ht="15" thickBot="1" x14ac:dyDescent="0.35">
      <c r="A5" t="s">
        <v>2</v>
      </c>
      <c r="B5" s="9">
        <v>3742</v>
      </c>
      <c r="C5" s="9">
        <v>3787</v>
      </c>
      <c r="D5" s="9">
        <v>3689</v>
      </c>
      <c r="E5" s="16">
        <v>3618</v>
      </c>
      <c r="F5" s="9">
        <v>3717</v>
      </c>
      <c r="G5" s="9">
        <v>3782</v>
      </c>
      <c r="H5" s="9">
        <v>3781</v>
      </c>
      <c r="I5" s="16">
        <v>3837</v>
      </c>
    </row>
    <row r="6" spans="1:9" x14ac:dyDescent="0.3">
      <c r="A6" t="s">
        <v>3</v>
      </c>
      <c r="B6" s="8">
        <v>2612</v>
      </c>
      <c r="C6" s="8">
        <v>2595</v>
      </c>
      <c r="D6" s="8">
        <v>2989</v>
      </c>
      <c r="E6" s="9">
        <v>2475</v>
      </c>
      <c r="F6" s="8">
        <v>2768</v>
      </c>
      <c r="G6" s="8">
        <v>2694</v>
      </c>
      <c r="H6" s="8">
        <v>6603</v>
      </c>
      <c r="I6" s="9">
        <v>2994</v>
      </c>
    </row>
    <row r="7" spans="1:9" x14ac:dyDescent="0.3">
      <c r="A7" t="s">
        <v>4</v>
      </c>
      <c r="B7" s="6">
        <v>0.24</v>
      </c>
      <c r="C7" s="6">
        <v>0.24</v>
      </c>
      <c r="D7" s="6">
        <v>0.24</v>
      </c>
      <c r="E7" s="7">
        <v>0.24</v>
      </c>
      <c r="F7" s="6">
        <v>0.23</v>
      </c>
      <c r="G7" s="6">
        <v>0.24</v>
      </c>
      <c r="H7" s="6">
        <v>0.23</v>
      </c>
      <c r="I7" s="7">
        <v>0.23</v>
      </c>
    </row>
    <row r="9" spans="1:9" x14ac:dyDescent="0.3">
      <c r="A9" t="s">
        <v>20</v>
      </c>
      <c r="C9" s="22">
        <f>(C4-B4)/B4*100</f>
        <v>1.3942828038454191</v>
      </c>
      <c r="D9" s="22">
        <f t="shared" ref="D9:I9" si="0">(D4-C4)/C4*100</f>
        <v>-2.3232450081627527</v>
      </c>
      <c r="E9" s="22">
        <f t="shared" si="0"/>
        <v>-2.3527899202879921</v>
      </c>
      <c r="F9" s="22">
        <f t="shared" si="0"/>
        <v>8.7162606978275186</v>
      </c>
      <c r="G9" s="22">
        <f t="shared" si="0"/>
        <v>-3.6030035121714912</v>
      </c>
      <c r="H9" s="22">
        <f t="shared" si="0"/>
        <v>3.2791004460079156</v>
      </c>
      <c r="I9" s="22">
        <f t="shared" si="0"/>
        <v>-0.54741195791010278</v>
      </c>
    </row>
    <row r="10" spans="1:9" x14ac:dyDescent="0.3">
      <c r="A10" t="s">
        <v>21</v>
      </c>
      <c r="C10" s="22">
        <f>(C6-B6)/B6*100</f>
        <v>-0.65084226646248089</v>
      </c>
      <c r="D10" s="22">
        <f t="shared" ref="D10:I10" si="1">(D6-C6)/C6*100</f>
        <v>15.183044315992293</v>
      </c>
      <c r="E10" s="22">
        <f t="shared" si="1"/>
        <v>-17.19638675142188</v>
      </c>
      <c r="F10" s="22">
        <f t="shared" si="1"/>
        <v>11.838383838383839</v>
      </c>
      <c r="G10" s="22">
        <f t="shared" si="1"/>
        <v>-2.6734104046242777</v>
      </c>
      <c r="H10" s="22">
        <f t="shared" si="1"/>
        <v>145.10022271714922</v>
      </c>
      <c r="I10" s="22">
        <f t="shared" si="1"/>
        <v>-54.6569741026806</v>
      </c>
    </row>
    <row r="12" spans="1:9" x14ac:dyDescent="0.3">
      <c r="A12" s="24">
        <f>AVERAGE(B7:I7)</f>
        <v>0.23624999999999999</v>
      </c>
      <c r="B12" t="s">
        <v>30</v>
      </c>
    </row>
  </sheetData>
  <mergeCells count="1">
    <mergeCell ref="B1:D1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AE18E5-7CFD-4FBD-A2B1-9B670368778F}">
  <dimension ref="A1:I12"/>
  <sheetViews>
    <sheetView workbookViewId="0">
      <selection activeCell="B13" sqref="B13"/>
    </sheetView>
  </sheetViews>
  <sheetFormatPr defaultRowHeight="14.4" x14ac:dyDescent="0.3"/>
  <cols>
    <col min="1" max="1" width="17.21875" bestFit="1" customWidth="1"/>
    <col min="3" max="3" width="9.21875" bestFit="1" customWidth="1"/>
    <col min="4" max="4" width="9" bestFit="1" customWidth="1"/>
    <col min="5" max="5" width="9.21875" bestFit="1" customWidth="1"/>
    <col min="6" max="9" width="9" bestFit="1" customWidth="1"/>
  </cols>
  <sheetData>
    <row r="1" spans="1:9" x14ac:dyDescent="0.3">
      <c r="B1" s="2" t="s">
        <v>5</v>
      </c>
      <c r="C1" s="2"/>
      <c r="D1" s="2"/>
      <c r="E1" s="1"/>
      <c r="F1" s="1"/>
    </row>
    <row r="2" spans="1:9" x14ac:dyDescent="0.3">
      <c r="B2" s="1"/>
      <c r="C2" s="1"/>
      <c r="D2" s="1"/>
      <c r="E2" s="1"/>
      <c r="F2" s="1"/>
    </row>
    <row r="3" spans="1:9" x14ac:dyDescent="0.3">
      <c r="B3" t="s">
        <v>8</v>
      </c>
      <c r="C3" t="s">
        <v>9</v>
      </c>
      <c r="D3" t="s">
        <v>10</v>
      </c>
      <c r="E3" t="s">
        <v>11</v>
      </c>
      <c r="F3" t="s">
        <v>12</v>
      </c>
      <c r="G3" t="s">
        <v>13</v>
      </c>
      <c r="H3" t="s">
        <v>14</v>
      </c>
      <c r="I3" t="s">
        <v>7</v>
      </c>
    </row>
    <row r="4" spans="1:9" ht="15" thickBot="1" x14ac:dyDescent="0.35">
      <c r="A4" t="s">
        <v>1</v>
      </c>
      <c r="B4" s="11">
        <v>8970</v>
      </c>
      <c r="C4" s="11">
        <v>8028</v>
      </c>
      <c r="D4" s="11">
        <v>8549</v>
      </c>
      <c r="E4" s="12">
        <v>8359</v>
      </c>
      <c r="F4" s="11">
        <v>8939</v>
      </c>
      <c r="G4" s="11">
        <v>8531</v>
      </c>
      <c r="H4" s="11">
        <v>8867</v>
      </c>
      <c r="I4" s="12">
        <v>9247</v>
      </c>
    </row>
    <row r="5" spans="1:9" ht="15" thickBot="1" x14ac:dyDescent="0.35">
      <c r="A5" t="s">
        <v>2</v>
      </c>
      <c r="B5" s="14">
        <v>1694</v>
      </c>
      <c r="C5" s="14">
        <v>1240</v>
      </c>
      <c r="D5" s="14">
        <v>1637</v>
      </c>
      <c r="E5" s="17">
        <v>1436</v>
      </c>
      <c r="F5" s="14">
        <v>1625</v>
      </c>
      <c r="G5" s="14">
        <v>1503</v>
      </c>
      <c r="H5" s="14">
        <v>1781</v>
      </c>
      <c r="I5" s="17">
        <v>1787</v>
      </c>
    </row>
    <row r="6" spans="1:9" x14ac:dyDescent="0.3">
      <c r="A6" t="s">
        <v>3</v>
      </c>
      <c r="B6" s="13">
        <v>1187</v>
      </c>
      <c r="C6" s="18">
        <v>694</v>
      </c>
      <c r="D6" s="13">
        <v>1128</v>
      </c>
      <c r="E6" s="19">
        <v>701</v>
      </c>
      <c r="F6" s="13">
        <v>1117</v>
      </c>
      <c r="G6" s="13">
        <v>1018</v>
      </c>
      <c r="H6" s="13">
        <v>1074</v>
      </c>
      <c r="I6" s="14">
        <v>1185</v>
      </c>
    </row>
    <row r="7" spans="1:9" x14ac:dyDescent="0.3">
      <c r="A7" t="s">
        <v>4</v>
      </c>
      <c r="B7" s="20">
        <v>0.19</v>
      </c>
      <c r="C7" s="20">
        <v>0.15</v>
      </c>
      <c r="D7" s="20">
        <v>0.19</v>
      </c>
      <c r="E7" s="15">
        <v>0.17</v>
      </c>
      <c r="F7" s="20">
        <v>0.18</v>
      </c>
      <c r="G7" s="20">
        <v>0.18</v>
      </c>
      <c r="H7" s="20">
        <v>0.2</v>
      </c>
      <c r="I7" s="15">
        <v>0.19</v>
      </c>
    </row>
    <row r="9" spans="1:9" x14ac:dyDescent="0.3">
      <c r="A9" t="s">
        <v>20</v>
      </c>
      <c r="C9" s="22">
        <f>(C4-B4)/B4*100</f>
        <v>-10.501672240802677</v>
      </c>
      <c r="D9" s="22">
        <f t="shared" ref="D9:I9" si="0">(D4-C4)/C4*100</f>
        <v>6.4897857498754359</v>
      </c>
      <c r="E9" s="22">
        <f t="shared" si="0"/>
        <v>-2.2224821616563339</v>
      </c>
      <c r="F9" s="22">
        <f t="shared" si="0"/>
        <v>6.9386290226103595</v>
      </c>
      <c r="G9" s="22">
        <f t="shared" si="0"/>
        <v>-4.5642689338852218</v>
      </c>
      <c r="H9" s="22">
        <f t="shared" si="0"/>
        <v>3.9385769546360332</v>
      </c>
      <c r="I9" s="22">
        <f t="shared" si="0"/>
        <v>4.2855531746926809</v>
      </c>
    </row>
    <row r="10" spans="1:9" x14ac:dyDescent="0.3">
      <c r="A10" t="s">
        <v>21</v>
      </c>
      <c r="C10" s="22">
        <f>(C6-B6)/B6*100</f>
        <v>-41.533277169334461</v>
      </c>
      <c r="D10" s="22">
        <f t="shared" ref="D10:I10" si="1">(D6-C6)/C6*100</f>
        <v>62.536023054755042</v>
      </c>
      <c r="E10" s="22">
        <f t="shared" si="1"/>
        <v>-37.854609929078016</v>
      </c>
      <c r="F10" s="22">
        <f t="shared" si="1"/>
        <v>59.343794579172616</v>
      </c>
      <c r="G10" s="22">
        <f t="shared" si="1"/>
        <v>-8.8630259623992824</v>
      </c>
      <c r="H10" s="22">
        <f t="shared" si="1"/>
        <v>5.5009823182711202</v>
      </c>
      <c r="I10" s="22">
        <f t="shared" si="1"/>
        <v>10.335195530726256</v>
      </c>
    </row>
    <row r="12" spans="1:9" x14ac:dyDescent="0.3">
      <c r="A12" t="s">
        <v>30</v>
      </c>
      <c r="B12" s="24">
        <f>AVERAGE(B7:I7)</f>
        <v>0.18124999999999999</v>
      </c>
    </row>
  </sheetData>
  <mergeCells count="1">
    <mergeCell ref="B1:D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79A1D9-AA35-4D89-A1DB-F2F92B855F47}">
  <dimension ref="A1:I12"/>
  <sheetViews>
    <sheetView zoomScale="94" workbookViewId="0">
      <selection activeCell="B13" sqref="B13"/>
    </sheetView>
  </sheetViews>
  <sheetFormatPr defaultRowHeight="14.4" x14ac:dyDescent="0.3"/>
  <cols>
    <col min="1" max="1" width="17.21875" bestFit="1" customWidth="1"/>
  </cols>
  <sheetData>
    <row r="1" spans="1:9" x14ac:dyDescent="0.3">
      <c r="B1" s="2" t="s">
        <v>6</v>
      </c>
      <c r="C1" s="2"/>
      <c r="D1" s="2"/>
      <c r="E1" s="1"/>
      <c r="F1" s="1"/>
    </row>
    <row r="2" spans="1:9" x14ac:dyDescent="0.3">
      <c r="B2" s="1"/>
      <c r="C2" s="1"/>
      <c r="D2" s="1"/>
      <c r="E2" s="1"/>
      <c r="F2" s="1"/>
    </row>
    <row r="3" spans="1:9" x14ac:dyDescent="0.3">
      <c r="B3" t="s">
        <v>8</v>
      </c>
      <c r="C3" t="s">
        <v>9</v>
      </c>
      <c r="D3" t="s">
        <v>10</v>
      </c>
      <c r="E3" t="s">
        <v>11</v>
      </c>
      <c r="F3" t="s">
        <v>12</v>
      </c>
      <c r="G3" t="s">
        <v>13</v>
      </c>
      <c r="H3" t="s">
        <v>14</v>
      </c>
      <c r="I3" t="s">
        <v>7</v>
      </c>
    </row>
    <row r="4" spans="1:9" ht="15" thickBot="1" x14ac:dyDescent="0.35">
      <c r="A4" t="s">
        <v>1</v>
      </c>
      <c r="B4" s="11">
        <v>81546</v>
      </c>
      <c r="C4" s="11">
        <v>83002</v>
      </c>
      <c r="D4" s="11">
        <v>85040</v>
      </c>
      <c r="E4" s="12">
        <v>86779</v>
      </c>
      <c r="F4" s="11">
        <v>87372</v>
      </c>
      <c r="G4" s="11">
        <v>86994</v>
      </c>
      <c r="H4" s="11">
        <v>87067</v>
      </c>
      <c r="I4" s="12">
        <v>87182</v>
      </c>
    </row>
    <row r="5" spans="1:9" ht="15" thickBot="1" x14ac:dyDescent="0.35">
      <c r="A5" t="s">
        <v>15</v>
      </c>
      <c r="B5" s="8">
        <v>22727</v>
      </c>
      <c r="C5" s="8">
        <v>23968</v>
      </c>
      <c r="D5" s="8">
        <v>23973</v>
      </c>
      <c r="E5" s="9">
        <v>25573</v>
      </c>
      <c r="F5" s="8">
        <v>20850</v>
      </c>
      <c r="G5" s="8">
        <v>26659</v>
      </c>
      <c r="H5" s="8">
        <v>26961</v>
      </c>
      <c r="I5" s="9">
        <v>27672</v>
      </c>
    </row>
    <row r="6" spans="1:9" x14ac:dyDescent="0.3">
      <c r="A6" t="s">
        <v>3</v>
      </c>
      <c r="B6" s="8">
        <v>17188</v>
      </c>
      <c r="C6" s="8">
        <v>18627</v>
      </c>
      <c r="D6" s="8">
        <v>18340</v>
      </c>
      <c r="E6" s="9">
        <v>19285</v>
      </c>
      <c r="F6" s="8">
        <v>17090</v>
      </c>
      <c r="G6" s="8">
        <v>20364</v>
      </c>
      <c r="H6" s="8">
        <v>20691</v>
      </c>
      <c r="I6" s="9">
        <v>21074</v>
      </c>
    </row>
    <row r="7" spans="1:9" x14ac:dyDescent="0.3">
      <c r="A7" t="s">
        <v>19</v>
      </c>
      <c r="B7" s="7">
        <v>0.24</v>
      </c>
      <c r="C7" s="7">
        <v>0.22</v>
      </c>
      <c r="D7" s="7">
        <v>0.24</v>
      </c>
      <c r="E7" s="10">
        <v>0.25</v>
      </c>
      <c r="F7" s="7">
        <v>0.18</v>
      </c>
      <c r="G7" s="7">
        <v>0.24</v>
      </c>
      <c r="H7" s="7">
        <v>0.23</v>
      </c>
      <c r="I7" s="10">
        <v>0.24</v>
      </c>
    </row>
    <row r="9" spans="1:9" x14ac:dyDescent="0.3">
      <c r="A9" t="s">
        <v>20</v>
      </c>
      <c r="C9" s="22">
        <f>(C4-B4)/B4*100</f>
        <v>1.7854953032644152</v>
      </c>
      <c r="D9" s="22">
        <f t="shared" ref="D9:I9" si="0">(D4-C4)/C4*100</f>
        <v>2.4553625213850272</v>
      </c>
      <c r="E9" s="22">
        <f t="shared" si="0"/>
        <v>2.0449200376293506</v>
      </c>
      <c r="F9" s="22">
        <f t="shared" si="0"/>
        <v>0.68334504891736481</v>
      </c>
      <c r="G9" s="22">
        <f t="shared" si="0"/>
        <v>-0.43263288009888751</v>
      </c>
      <c r="H9" s="22">
        <f t="shared" si="0"/>
        <v>8.3913833137917559E-2</v>
      </c>
      <c r="I9" s="22">
        <f t="shared" si="0"/>
        <v>0.13208218957814097</v>
      </c>
    </row>
    <row r="10" spans="1:9" x14ac:dyDescent="0.3">
      <c r="A10" t="s">
        <v>21</v>
      </c>
      <c r="C10" s="22">
        <f>(C6-B6)/B6*100</f>
        <v>8.3721200837793823</v>
      </c>
      <c r="D10" s="22">
        <f t="shared" ref="D10:I10" si="1">(D6-C6)/C6*100</f>
        <v>-1.5407741450582486</v>
      </c>
      <c r="E10" s="22">
        <f t="shared" si="1"/>
        <v>5.1526717557251906</v>
      </c>
      <c r="F10" s="22">
        <f t="shared" si="1"/>
        <v>-11.381903033445683</v>
      </c>
      <c r="G10" s="22">
        <f t="shared" si="1"/>
        <v>19.157401989467523</v>
      </c>
      <c r="H10" s="22">
        <f t="shared" si="1"/>
        <v>1.6057748968768417</v>
      </c>
      <c r="I10" s="22">
        <f t="shared" si="1"/>
        <v>1.8510463486540043</v>
      </c>
    </row>
    <row r="12" spans="1:9" x14ac:dyDescent="0.3">
      <c r="A12" t="s">
        <v>31</v>
      </c>
      <c r="B12" s="24">
        <f>AVERAGE(B7:I7)</f>
        <v>0.22999999999999998</v>
      </c>
    </row>
  </sheetData>
  <mergeCells count="1">
    <mergeCell ref="B1:D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6797E5-1D74-4987-B0D8-7587825FFEC7}">
  <dimension ref="A1:H12"/>
  <sheetViews>
    <sheetView workbookViewId="0">
      <selection activeCell="D21" sqref="D21"/>
    </sheetView>
  </sheetViews>
  <sheetFormatPr defaultRowHeight="14.4" x14ac:dyDescent="0.3"/>
  <cols>
    <col min="1" max="1" width="17.21875" bestFit="1" customWidth="1"/>
    <col min="3" max="3" width="9.5546875" bestFit="1" customWidth="1"/>
    <col min="4" max="4" width="9" bestFit="1" customWidth="1"/>
    <col min="5" max="5" width="9.21875" bestFit="1" customWidth="1"/>
    <col min="6" max="7" width="10.21875" bestFit="1" customWidth="1"/>
    <col min="8" max="8" width="9.5546875" bestFit="1" customWidth="1"/>
  </cols>
  <sheetData>
    <row r="1" spans="1:8" x14ac:dyDescent="0.3">
      <c r="B1" s="2" t="s">
        <v>16</v>
      </c>
      <c r="C1" s="2"/>
      <c r="D1" s="2"/>
      <c r="E1" s="1"/>
      <c r="F1" s="1"/>
    </row>
    <row r="2" spans="1:8" x14ac:dyDescent="0.3">
      <c r="B2" s="1"/>
      <c r="C2" s="1"/>
      <c r="D2" s="1"/>
      <c r="E2" s="1"/>
      <c r="F2" s="1"/>
    </row>
    <row r="3" spans="1:8" x14ac:dyDescent="0.3">
      <c r="B3" t="s">
        <v>9</v>
      </c>
      <c r="C3" t="s">
        <v>10</v>
      </c>
      <c r="D3" t="s">
        <v>11</v>
      </c>
      <c r="E3" t="s">
        <v>12</v>
      </c>
      <c r="F3" t="s">
        <v>13</v>
      </c>
      <c r="G3" t="s">
        <v>14</v>
      </c>
      <c r="H3" t="s">
        <v>7</v>
      </c>
    </row>
    <row r="4" spans="1:8" ht="15" thickBot="1" x14ac:dyDescent="0.35">
      <c r="A4" t="s">
        <v>1</v>
      </c>
      <c r="B4" s="11">
        <v>15518</v>
      </c>
      <c r="C4" s="11">
        <v>17040</v>
      </c>
      <c r="D4" s="12">
        <v>19999</v>
      </c>
      <c r="E4" s="11">
        <v>15682</v>
      </c>
      <c r="F4" s="11">
        <v>16861</v>
      </c>
      <c r="G4" s="11">
        <v>20404</v>
      </c>
      <c r="H4" s="12">
        <v>24452</v>
      </c>
    </row>
    <row r="5" spans="1:8" ht="15" thickBot="1" x14ac:dyDescent="0.35">
      <c r="A5" t="s">
        <v>2</v>
      </c>
      <c r="B5" s="14">
        <v>1641</v>
      </c>
      <c r="C5" s="14">
        <v>2005</v>
      </c>
      <c r="D5" s="17">
        <v>2438</v>
      </c>
      <c r="E5" s="14">
        <v>1987</v>
      </c>
      <c r="F5" s="14">
        <v>2077</v>
      </c>
      <c r="G5" s="14">
        <v>2606</v>
      </c>
      <c r="H5" s="17">
        <v>3307</v>
      </c>
    </row>
    <row r="6" spans="1:8" x14ac:dyDescent="0.3">
      <c r="A6" t="s">
        <v>3</v>
      </c>
      <c r="B6" s="18">
        <v>643</v>
      </c>
      <c r="C6" s="13">
        <v>1417</v>
      </c>
      <c r="D6" s="14">
        <v>1419</v>
      </c>
      <c r="E6" s="13">
        <v>1411</v>
      </c>
      <c r="F6" s="13">
        <v>-1021</v>
      </c>
      <c r="G6" s="18">
        <v>561</v>
      </c>
      <c r="H6" s="14">
        <v>2406</v>
      </c>
    </row>
    <row r="7" spans="1:8" x14ac:dyDescent="0.3">
      <c r="A7" t="s">
        <v>4</v>
      </c>
      <c r="B7" s="20">
        <v>0.11</v>
      </c>
      <c r="C7" s="20">
        <v>0.12</v>
      </c>
      <c r="D7" s="15">
        <v>0.12</v>
      </c>
      <c r="E7" s="20">
        <v>0.13</v>
      </c>
      <c r="F7" s="20">
        <v>0.12</v>
      </c>
      <c r="G7" s="20">
        <v>0.13</v>
      </c>
      <c r="H7" s="15">
        <v>0.14000000000000001</v>
      </c>
    </row>
    <row r="9" spans="1:8" x14ac:dyDescent="0.3">
      <c r="A9" t="s">
        <v>20</v>
      </c>
      <c r="C9" s="22">
        <f>(C4-B4)/B4*100</f>
        <v>9.8079649439360743</v>
      </c>
      <c r="D9" s="22">
        <f t="shared" ref="D9:H9" si="0">(D4-C4)/C4*100</f>
        <v>17.365023474178404</v>
      </c>
      <c r="E9" s="22">
        <f t="shared" si="0"/>
        <v>-21.586079303965196</v>
      </c>
      <c r="F9" s="22">
        <f t="shared" si="0"/>
        <v>7.5181737023338862</v>
      </c>
      <c r="G9" s="22">
        <f t="shared" si="0"/>
        <v>21.012988553466581</v>
      </c>
      <c r="H9" s="22">
        <f t="shared" si="0"/>
        <v>19.839247206430109</v>
      </c>
    </row>
    <row r="10" spans="1:8" x14ac:dyDescent="0.3">
      <c r="A10" t="s">
        <v>21</v>
      </c>
      <c r="C10" s="22">
        <f>(C6-B6)/B6*100</f>
        <v>120.37325038880249</v>
      </c>
      <c r="D10" s="22">
        <f t="shared" ref="D10:I10" si="1">(D6-C6)/C6*100</f>
        <v>0.14114326040931546</v>
      </c>
      <c r="E10" s="22">
        <f t="shared" si="1"/>
        <v>-0.56377730796335446</v>
      </c>
      <c r="F10" s="22">
        <f t="shared" si="1"/>
        <v>-172.36002834868887</v>
      </c>
      <c r="G10" s="22">
        <f t="shared" si="1"/>
        <v>-154.94613124387854</v>
      </c>
      <c r="H10" s="22">
        <f t="shared" si="1"/>
        <v>328.87700534759358</v>
      </c>
    </row>
    <row r="12" spans="1:8" x14ac:dyDescent="0.3">
      <c r="A12" t="s">
        <v>30</v>
      </c>
      <c r="B12" s="24">
        <f>AVERAGE(B7:H7)</f>
        <v>0.12428571428571429</v>
      </c>
    </row>
  </sheetData>
  <mergeCells count="1">
    <mergeCell ref="B1:D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978BD4-A671-45CA-9CEA-3749731D385E}">
  <dimension ref="A1:I22"/>
  <sheetViews>
    <sheetView workbookViewId="0">
      <selection activeCell="B13" sqref="B13"/>
    </sheetView>
  </sheetViews>
  <sheetFormatPr defaultRowHeight="14.4" x14ac:dyDescent="0.3"/>
  <cols>
    <col min="1" max="1" width="17.21875" bestFit="1" customWidth="1"/>
    <col min="3" max="4" width="9" bestFit="1" customWidth="1"/>
    <col min="5" max="5" width="9.21875" bestFit="1" customWidth="1"/>
    <col min="6" max="8" width="9" bestFit="1" customWidth="1"/>
    <col min="9" max="9" width="9.21875" bestFit="1" customWidth="1"/>
  </cols>
  <sheetData>
    <row r="1" spans="1:9" x14ac:dyDescent="0.3">
      <c r="B1" s="2" t="s">
        <v>17</v>
      </c>
      <c r="C1" s="2"/>
      <c r="D1" s="2"/>
      <c r="E1" s="1"/>
      <c r="F1" s="1"/>
    </row>
    <row r="2" spans="1:9" x14ac:dyDescent="0.3">
      <c r="B2" s="1"/>
      <c r="C2" s="1"/>
      <c r="D2" s="1"/>
      <c r="E2" s="1"/>
      <c r="F2" s="1"/>
    </row>
    <row r="3" spans="1:9" x14ac:dyDescent="0.3">
      <c r="B3" t="s">
        <v>8</v>
      </c>
      <c r="C3" t="s">
        <v>9</v>
      </c>
      <c r="D3" t="s">
        <v>10</v>
      </c>
      <c r="E3" t="s">
        <v>11</v>
      </c>
      <c r="F3" t="s">
        <v>12</v>
      </c>
      <c r="G3" t="s">
        <v>13</v>
      </c>
      <c r="H3" t="s">
        <v>14</v>
      </c>
      <c r="I3" t="s">
        <v>7</v>
      </c>
    </row>
    <row r="4" spans="1:9" ht="15" thickBot="1" x14ac:dyDescent="0.35">
      <c r="A4" t="s">
        <v>1</v>
      </c>
      <c r="B4" s="11">
        <v>12653</v>
      </c>
      <c r="C4" s="11">
        <v>13291</v>
      </c>
      <c r="D4" s="11">
        <v>13675</v>
      </c>
      <c r="E4" s="12">
        <v>12959</v>
      </c>
      <c r="F4" s="11">
        <v>13851</v>
      </c>
      <c r="G4" s="11">
        <v>14478</v>
      </c>
      <c r="H4" s="11">
        <v>15521</v>
      </c>
      <c r="I4" s="12">
        <v>14612</v>
      </c>
    </row>
    <row r="5" spans="1:9" ht="15" thickBot="1" x14ac:dyDescent="0.35">
      <c r="A5" t="s">
        <v>2</v>
      </c>
      <c r="B5" s="14">
        <v>3608</v>
      </c>
      <c r="C5" s="14">
        <v>3939</v>
      </c>
      <c r="D5" s="14">
        <v>4009</v>
      </c>
      <c r="E5" s="17">
        <v>3716</v>
      </c>
      <c r="F5" s="14">
        <v>4302</v>
      </c>
      <c r="G5" s="14">
        <v>4527</v>
      </c>
      <c r="H5" s="14">
        <v>4948</v>
      </c>
      <c r="I5" s="17">
        <v>3954</v>
      </c>
    </row>
    <row r="6" spans="1:9" x14ac:dyDescent="0.3">
      <c r="A6" t="s">
        <v>3</v>
      </c>
      <c r="B6" s="13">
        <v>2861</v>
      </c>
      <c r="C6" s="13">
        <v>3037</v>
      </c>
      <c r="D6" s="13">
        <v>2913</v>
      </c>
      <c r="E6" s="14">
        <v>2154</v>
      </c>
      <c r="F6" s="13">
        <v>2293</v>
      </c>
      <c r="G6" s="13">
        <v>3125</v>
      </c>
      <c r="H6" s="13">
        <v>3381</v>
      </c>
      <c r="I6" s="14">
        <v>2710</v>
      </c>
    </row>
    <row r="7" spans="1:9" x14ac:dyDescent="0.3">
      <c r="A7" t="s">
        <v>4</v>
      </c>
      <c r="B7" s="20">
        <v>0.28999999999999998</v>
      </c>
      <c r="C7" s="20">
        <v>0.3</v>
      </c>
      <c r="D7" s="20">
        <v>0.28999999999999998</v>
      </c>
      <c r="E7" s="15">
        <v>0.28999999999999998</v>
      </c>
      <c r="F7" s="20">
        <v>0.31</v>
      </c>
      <c r="G7" s="20">
        <v>0.31</v>
      </c>
      <c r="H7" s="20">
        <v>0.32</v>
      </c>
      <c r="I7" s="15">
        <v>0.27</v>
      </c>
    </row>
    <row r="9" spans="1:9" x14ac:dyDescent="0.3">
      <c r="A9" t="s">
        <v>20</v>
      </c>
      <c r="C9" s="21">
        <f>(C4-B4)/B4*100</f>
        <v>5.0422824626570772</v>
      </c>
      <c r="D9" s="21">
        <f t="shared" ref="D9:I9" si="0">(D4-C4)/C4*100</f>
        <v>2.8891731246708301</v>
      </c>
      <c r="E9" s="21">
        <f t="shared" si="0"/>
        <v>-5.2358318098720291</v>
      </c>
      <c r="F9" s="21">
        <f t="shared" si="0"/>
        <v>6.8832471641330359</v>
      </c>
      <c r="G9" s="21">
        <f t="shared" si="0"/>
        <v>4.5267489711934159</v>
      </c>
      <c r="H9" s="21">
        <f t="shared" si="0"/>
        <v>7.2040337063130258</v>
      </c>
      <c r="I9" s="21">
        <f t="shared" si="0"/>
        <v>-5.856581405837253</v>
      </c>
    </row>
    <row r="10" spans="1:9" x14ac:dyDescent="0.3">
      <c r="A10" t="s">
        <v>21</v>
      </c>
      <c r="C10" s="21">
        <f>(C6-B6)/B6*100</f>
        <v>6.1516952114645234</v>
      </c>
      <c r="D10" s="21">
        <f t="shared" ref="D10:I10" si="1">(D6-C6)/C6*100</f>
        <v>-4.0829766216661181</v>
      </c>
      <c r="E10" s="21">
        <f t="shared" si="1"/>
        <v>-26.055612770339852</v>
      </c>
      <c r="F10" s="21">
        <f t="shared" si="1"/>
        <v>6.4531104921077072</v>
      </c>
      <c r="G10" s="21">
        <f t="shared" si="1"/>
        <v>36.28434365460096</v>
      </c>
      <c r="H10" s="21">
        <f t="shared" si="1"/>
        <v>8.1920000000000002</v>
      </c>
      <c r="I10" s="21">
        <f t="shared" si="1"/>
        <v>-19.846199349304939</v>
      </c>
    </row>
    <row r="12" spans="1:9" x14ac:dyDescent="0.3">
      <c r="A12" t="s">
        <v>30</v>
      </c>
      <c r="B12" s="24">
        <f>AVERAGE(B7:I7)</f>
        <v>0.29749999999999999</v>
      </c>
    </row>
    <row r="22" spans="5:5" x14ac:dyDescent="0.3">
      <c r="E22" t="s">
        <v>18</v>
      </c>
    </row>
  </sheetData>
  <mergeCells count="1">
    <mergeCell ref="B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Dashboard data tab</vt:lpstr>
      <vt:lpstr>Summary</vt:lpstr>
      <vt:lpstr>HUL</vt:lpstr>
      <vt:lpstr>Asian Paints</vt:lpstr>
      <vt:lpstr>HDFC</vt:lpstr>
      <vt:lpstr>Tata Motors</vt:lpstr>
      <vt:lpstr>Sun Pharma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Vrusti Jain</dc:creator>
  <cp:lastModifiedBy>Vrusti Jain</cp:lastModifiedBy>
  <cp:lastPrinted>2026-06-07T16:24:45Z</cp:lastPrinted>
  <dcterms:created xsi:type="dcterms:W3CDTF">2026-06-07T10:58:22Z</dcterms:created>
  <dcterms:modified xsi:type="dcterms:W3CDTF">2026-06-07T16:37:09Z</dcterms:modified>
</cp:coreProperties>
</file>